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PF2.0-120</t>
        </is>
      </c>
      <c r="B2" t="n">
        <v>66</v>
      </c>
      <c r="C2" t="n">
        <v>35984.47</v>
      </c>
      <c r="D2" t="n">
        <v>92.40000000000001</v>
      </c>
      <c r="E2" t="n">
        <v>1027.88</v>
      </c>
      <c r="F2" t="n">
        <v>-5343.22</v>
      </c>
      <c r="G2" t="n">
        <v>11581.23</v>
      </c>
      <c r="H2" t="b">
        <v>1</v>
      </c>
    </row>
    <row r="3">
      <c r="A3" t="inlineStr">
        <is>
          <t>PF2.0-240</t>
        </is>
      </c>
      <c r="B3" t="n">
        <v>64</v>
      </c>
      <c r="C3" t="n">
        <v>35917.93</v>
      </c>
      <c r="D3" t="n">
        <v>92.2</v>
      </c>
      <c r="E3" t="n">
        <v>1026.87</v>
      </c>
      <c r="F3" t="n">
        <v>-4933.48</v>
      </c>
      <c r="G3" t="n">
        <v>11506.92</v>
      </c>
      <c r="H3" t="b">
        <v>1</v>
      </c>
    </row>
    <row r="4">
      <c r="A4" t="inlineStr">
        <is>
          <t>PF2.0-180</t>
        </is>
      </c>
      <c r="B4" t="n">
        <v>66</v>
      </c>
      <c r="C4" t="n">
        <v>35754.87</v>
      </c>
      <c r="D4" t="n">
        <v>92.40000000000001</v>
      </c>
      <c r="E4" t="n">
        <v>1022.9</v>
      </c>
      <c r="F4" t="n">
        <v>-5328.36</v>
      </c>
      <c r="G4" t="n">
        <v>11506.92</v>
      </c>
      <c r="H4" t="b">
        <v>1</v>
      </c>
    </row>
    <row r="5">
      <c r="A5" t="inlineStr">
        <is>
          <t>PF3.0-240</t>
        </is>
      </c>
      <c r="B5" t="n">
        <v>63</v>
      </c>
      <c r="C5" t="n">
        <v>35739.28</v>
      </c>
      <c r="D5" t="n">
        <v>92.09999999999999</v>
      </c>
      <c r="E5" t="n">
        <v>1021.61</v>
      </c>
      <c r="F5" t="n">
        <v>-4702.78</v>
      </c>
      <c r="G5" t="n">
        <v>10353.4</v>
      </c>
      <c r="H5" t="b">
        <v>1</v>
      </c>
    </row>
    <row r="6">
      <c r="A6" t="inlineStr">
        <is>
          <t>PF3.0-180</t>
        </is>
      </c>
      <c r="B6" t="n">
        <v>64</v>
      </c>
      <c r="C6" t="n">
        <v>35356.03</v>
      </c>
      <c r="D6" t="n">
        <v>92.2</v>
      </c>
      <c r="E6" t="n">
        <v>1031.26</v>
      </c>
      <c r="F6" t="n">
        <v>-5097.65</v>
      </c>
      <c r="G6" t="n">
        <v>10353.4</v>
      </c>
      <c r="H6" t="b">
        <v>1</v>
      </c>
    </row>
    <row r="7">
      <c r="A7" t="inlineStr">
        <is>
          <t>PF3.0-120</t>
        </is>
      </c>
      <c r="B7" t="n">
        <v>64</v>
      </c>
      <c r="C7" t="n">
        <v>34432.12</v>
      </c>
      <c r="D7" t="n">
        <v>92.2</v>
      </c>
      <c r="E7" t="n">
        <v>1036.41</v>
      </c>
      <c r="F7" t="n">
        <v>-5343.22</v>
      </c>
      <c r="G7" t="n">
        <v>11581.23</v>
      </c>
      <c r="H7" t="b">
        <v>1</v>
      </c>
    </row>
    <row r="8">
      <c r="A8" t="inlineStr">
        <is>
          <t>PF4.0-120</t>
        </is>
      </c>
      <c r="B8" t="n">
        <v>60</v>
      </c>
      <c r="C8" t="n">
        <v>24822.05</v>
      </c>
      <c r="D8" t="n">
        <v>90</v>
      </c>
      <c r="E8" t="n">
        <v>993.84</v>
      </c>
      <c r="F8" t="n">
        <v>-4807.59</v>
      </c>
      <c r="G8" t="n">
        <v>11083.17</v>
      </c>
      <c r="H8" t="b">
        <v>1</v>
      </c>
    </row>
    <row r="9">
      <c r="A9" t="inlineStr">
        <is>
          <t>PF4.0-180</t>
        </is>
      </c>
      <c r="B9" t="n">
        <v>60</v>
      </c>
      <c r="C9" t="n">
        <v>24577.59</v>
      </c>
      <c r="D9" t="n">
        <v>90</v>
      </c>
      <c r="E9" t="n">
        <v>988.22</v>
      </c>
      <c r="F9" t="n">
        <v>-4797.69</v>
      </c>
      <c r="G9" t="n">
        <v>11083.17</v>
      </c>
      <c r="H9" t="b">
        <v>1</v>
      </c>
    </row>
    <row r="10">
      <c r="A10" t="inlineStr">
        <is>
          <t>PF2.0-300</t>
        </is>
      </c>
      <c r="B10" t="n">
        <v>62</v>
      </c>
      <c r="C10" t="n">
        <v>24544.11</v>
      </c>
      <c r="D10" t="n">
        <v>90.3</v>
      </c>
      <c r="E10" t="n">
        <v>977.5599999999999</v>
      </c>
      <c r="F10" t="n">
        <v>-5033.17</v>
      </c>
      <c r="G10" t="n">
        <v>11774.47</v>
      </c>
      <c r="H10" t="b">
        <v>1</v>
      </c>
    </row>
    <row r="11">
      <c r="A11" t="inlineStr">
        <is>
          <t>PF3.0-300</t>
        </is>
      </c>
      <c r="B11" t="n">
        <v>60</v>
      </c>
      <c r="C11" t="n">
        <v>23561.37</v>
      </c>
      <c r="D11" t="n">
        <v>90</v>
      </c>
      <c r="E11" t="n">
        <v>996.1</v>
      </c>
      <c r="F11" t="n">
        <v>-5038.01</v>
      </c>
      <c r="G11" t="n">
        <v>11774.47</v>
      </c>
      <c r="H11" t="b">
        <v>1</v>
      </c>
    </row>
    <row r="12">
      <c r="A12" t="inlineStr">
        <is>
          <t>PF4.0-240</t>
        </is>
      </c>
      <c r="B12" t="n">
        <v>60</v>
      </c>
      <c r="C12" t="n">
        <v>23559.97</v>
      </c>
      <c r="D12" t="n">
        <v>90</v>
      </c>
      <c r="E12" t="n">
        <v>969.37</v>
      </c>
      <c r="F12" t="n">
        <v>-4797.69</v>
      </c>
      <c r="G12" t="n">
        <v>11083.17</v>
      </c>
      <c r="H12" t="b">
        <v>1</v>
      </c>
    </row>
    <row r="13">
      <c r="A13" t="inlineStr">
        <is>
          <t>PF4.0-300</t>
        </is>
      </c>
      <c r="B13" t="n">
        <v>57</v>
      </c>
      <c r="C13" t="n">
        <v>21277.67</v>
      </c>
      <c r="D13" t="n">
        <v>89.5</v>
      </c>
      <c r="E13" t="n">
        <v>982.8099999999999</v>
      </c>
      <c r="F13" t="n">
        <v>-4807.59</v>
      </c>
      <c r="G13" t="n">
        <v>11083.17</v>
      </c>
      <c r="H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21" customWidth="1" min="4" max="4"/>
    <col width="25" customWidth="1" min="5" max="5"/>
    <col width="14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price_buffer_points</t>
        </is>
      </c>
      <c r="E1" s="1" t="inlineStr">
        <is>
          <t>filter_duration_seconds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PF2.0-120</t>
        </is>
      </c>
      <c r="B2" t="b">
        <v>1</v>
      </c>
      <c r="C2" t="inlineStr"/>
      <c r="D2" t="n">
        <v>2</v>
      </c>
      <c r="E2" t="n">
        <v>120</v>
      </c>
      <c r="F2" t="n">
        <v>66</v>
      </c>
      <c r="G2" t="n">
        <v>35984.46653550003</v>
      </c>
      <c r="H2" t="n">
        <v>0.9242424242424242</v>
      </c>
      <c r="I2" t="n">
        <v>1027.878070868853</v>
      </c>
      <c r="J2" t="n">
        <v>-5343.219157500002</v>
      </c>
      <c r="K2" t="n">
        <v>11581.23352875002</v>
      </c>
    </row>
    <row r="3">
      <c r="A3" t="inlineStr">
        <is>
          <t>PF2.0-240</t>
        </is>
      </c>
      <c r="B3" t="b">
        <v>1</v>
      </c>
      <c r="C3" t="inlineStr"/>
      <c r="D3" t="n">
        <v>2</v>
      </c>
      <c r="E3" t="n">
        <v>240</v>
      </c>
      <c r="F3" t="n">
        <v>64</v>
      </c>
      <c r="G3" t="n">
        <v>35917.93302300004</v>
      </c>
      <c r="H3" t="n">
        <v>0.921875</v>
      </c>
      <c r="I3" t="n">
        <v>1026.870153228814</v>
      </c>
      <c r="J3" t="n">
        <v>-4933.4812035</v>
      </c>
      <c r="K3" t="n">
        <v>11506.9168875</v>
      </c>
    </row>
    <row r="4">
      <c r="A4" t="inlineStr">
        <is>
          <t>PF2.0-180</t>
        </is>
      </c>
      <c r="B4" t="b">
        <v>1</v>
      </c>
      <c r="C4" t="inlineStr"/>
      <c r="D4" t="n">
        <v>2</v>
      </c>
      <c r="E4" t="n">
        <v>180</v>
      </c>
      <c r="F4" t="n">
        <v>66</v>
      </c>
      <c r="G4" t="n">
        <v>35754.86773200004</v>
      </c>
      <c r="H4" t="n">
        <v>0.9242424242424242</v>
      </c>
      <c r="I4" t="n">
        <v>1022.895850463115</v>
      </c>
      <c r="J4" t="n">
        <v>-5328.355829249998</v>
      </c>
      <c r="K4" t="n">
        <v>11506.9168875</v>
      </c>
    </row>
    <row r="5">
      <c r="A5" t="inlineStr">
        <is>
          <t>PF3.0-240</t>
        </is>
      </c>
      <c r="B5" t="b">
        <v>1</v>
      </c>
      <c r="C5" t="inlineStr"/>
      <c r="D5" t="n">
        <v>3</v>
      </c>
      <c r="E5" t="n">
        <v>240</v>
      </c>
      <c r="F5" t="n">
        <v>63</v>
      </c>
      <c r="G5" t="n">
        <v>35739.27937575003</v>
      </c>
      <c r="H5" t="n">
        <v>0.9206349206349206</v>
      </c>
      <c r="I5" t="n">
        <v>1021.606406780173</v>
      </c>
      <c r="J5" t="n">
        <v>-4702.778443499999</v>
      </c>
      <c r="K5" t="n">
        <v>10353.4030875</v>
      </c>
    </row>
    <row r="6">
      <c r="A6" t="inlineStr">
        <is>
          <t>PF3.0-180</t>
        </is>
      </c>
      <c r="B6" t="b">
        <v>1</v>
      </c>
      <c r="C6" t="inlineStr"/>
      <c r="D6" t="n">
        <v>3</v>
      </c>
      <c r="E6" t="n">
        <v>180</v>
      </c>
      <c r="F6" t="n">
        <v>64</v>
      </c>
      <c r="G6" t="n">
        <v>35356.03477725003</v>
      </c>
      <c r="H6" t="n">
        <v>0.921875</v>
      </c>
      <c r="I6" t="n">
        <v>1031.259324127119</v>
      </c>
      <c r="J6" t="n">
        <v>-5097.653069249998</v>
      </c>
      <c r="K6" t="n">
        <v>10353.4030875</v>
      </c>
    </row>
    <row r="7">
      <c r="A7" t="inlineStr">
        <is>
          <t>PF3.0-120</t>
        </is>
      </c>
      <c r="B7" t="b">
        <v>1</v>
      </c>
      <c r="C7" t="inlineStr"/>
      <c r="D7" t="n">
        <v>3</v>
      </c>
      <c r="E7" t="n">
        <v>120</v>
      </c>
      <c r="F7" t="n">
        <v>64</v>
      </c>
      <c r="G7" t="n">
        <v>34432.11978075002</v>
      </c>
      <c r="H7" t="n">
        <v>0.921875</v>
      </c>
      <c r="I7" t="n">
        <v>1036.41043336017</v>
      </c>
      <c r="J7" t="n">
        <v>-5343.219157500002</v>
      </c>
      <c r="K7" t="n">
        <v>11581.23352875002</v>
      </c>
    </row>
    <row r="8">
      <c r="A8" t="inlineStr">
        <is>
          <t>PF4.0-120</t>
        </is>
      </c>
      <c r="B8" t="b">
        <v>1</v>
      </c>
      <c r="C8" t="inlineStr"/>
      <c r="D8" t="n">
        <v>4</v>
      </c>
      <c r="E8" t="n">
        <v>120</v>
      </c>
      <c r="F8" t="n">
        <v>60</v>
      </c>
      <c r="G8" t="n">
        <v>24822.04921425003</v>
      </c>
      <c r="H8" t="n">
        <v>0.9</v>
      </c>
      <c r="I8" t="n">
        <v>993.8447270555561</v>
      </c>
      <c r="J8" t="n">
        <v>-4807.594341125001</v>
      </c>
      <c r="K8" t="n">
        <v>11083.17041924999</v>
      </c>
    </row>
    <row r="9">
      <c r="A9" t="inlineStr">
        <is>
          <t>PF4.0-180</t>
        </is>
      </c>
      <c r="B9" t="b">
        <v>1</v>
      </c>
      <c r="C9" t="inlineStr"/>
      <c r="D9" t="n">
        <v>4</v>
      </c>
      <c r="E9" t="n">
        <v>180</v>
      </c>
      <c r="F9" t="n">
        <v>60</v>
      </c>
      <c r="G9" t="n">
        <v>24577.58708250003</v>
      </c>
      <c r="H9" t="n">
        <v>0.9</v>
      </c>
      <c r="I9" t="n">
        <v>988.2166632638894</v>
      </c>
      <c r="J9" t="n">
        <v>-4797.685455624998</v>
      </c>
      <c r="K9" t="n">
        <v>11083.17041924999</v>
      </c>
    </row>
    <row r="10">
      <c r="A10" t="inlineStr">
        <is>
          <t>PF2.0-300</t>
        </is>
      </c>
      <c r="B10" t="b">
        <v>1</v>
      </c>
      <c r="C10" t="inlineStr"/>
      <c r="D10" t="n">
        <v>2</v>
      </c>
      <c r="E10" t="n">
        <v>300</v>
      </c>
      <c r="F10" t="n">
        <v>62</v>
      </c>
      <c r="G10" t="n">
        <v>24544.11287250003</v>
      </c>
      <c r="H10" t="n">
        <v>0.9032258064516129</v>
      </c>
      <c r="I10" t="n">
        <v>977.5555418303577</v>
      </c>
      <c r="J10" t="n">
        <v>-5033.166245</v>
      </c>
      <c r="K10" t="n">
        <v>11774.474925</v>
      </c>
    </row>
    <row r="11">
      <c r="A11" t="inlineStr">
        <is>
          <t>PF3.0-300</t>
        </is>
      </c>
      <c r="B11" t="b">
        <v>1</v>
      </c>
      <c r="C11" t="inlineStr"/>
      <c r="D11" t="n">
        <v>3</v>
      </c>
      <c r="E11" t="n">
        <v>300</v>
      </c>
      <c r="F11" t="n">
        <v>60</v>
      </c>
      <c r="G11" t="n">
        <v>23561.37215775002</v>
      </c>
      <c r="H11" t="n">
        <v>0.9</v>
      </c>
      <c r="I11" t="n">
        <v>996.1007277916673</v>
      </c>
      <c r="J11" t="n">
        <v>-5038.011190500001</v>
      </c>
      <c r="K11" t="n">
        <v>11774.474925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Price Above Exit Filter Optimization</t>
        </is>
      </c>
    </row>
    <row r="4">
      <c r="A4" t="inlineStr">
        <is>
          <t>Description</t>
        </is>
      </c>
      <c r="B4" t="inlineStr">
        <is>
          <t>Testing 12 combinations of buffer points (2-4) and duration (120-300s) with EMA 9-21</t>
        </is>
      </c>
    </row>
    <row r="5">
      <c r="A5" t="inlineStr">
        <is>
          <t>Total Tests</t>
        </is>
      </c>
      <c r="B5" t="n">
        <v>12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Enable_control_base_sl_green_ticks</t>
        </is>
      </c>
      <c r="B8" t="inlineStr">
        <is>
          <t>Yes</t>
        </is>
      </c>
    </row>
    <row r="9">
      <c r="A9" t="inlineStr">
        <is>
          <t>base_sl_points</t>
        </is>
      </c>
      <c r="B9" t="inlineStr">
        <is>
          <t>15</t>
        </is>
      </c>
    </row>
    <row r="10">
      <c r="A10" t="inlineStr">
        <is>
          <t>consecutive_green_bars</t>
        </is>
      </c>
      <c r="B10" t="inlineStr">
        <is>
          <t>3</t>
        </is>
      </c>
    </row>
    <row r="11">
      <c r="A11" t="inlineStr">
        <is>
          <t>control_base_sl_green_ticks</t>
        </is>
      </c>
      <c r="B11" t="inlineStr">
        <is>
          <t>5</t>
        </is>
      </c>
    </row>
    <row r="12">
      <c r="A12" t="inlineStr">
        <is>
          <t>fast_ema</t>
        </is>
      </c>
      <c r="B12" t="inlineStr">
        <is>
          <t>9</t>
        </is>
      </c>
    </row>
    <row r="13">
      <c r="A13" t="inlineStr">
        <is>
          <t>price_above_exit_filter_enabled</t>
        </is>
      </c>
      <c r="B13" t="inlineStr">
        <is>
          <t>Yes</t>
        </is>
      </c>
    </row>
    <row r="14">
      <c r="A14" t="inlineStr">
        <is>
          <t>risk_per_trade_percent</t>
        </is>
      </c>
      <c r="B14" t="inlineStr">
        <is>
          <t>5</t>
        </is>
      </c>
    </row>
    <row r="15">
      <c r="A15" t="inlineStr">
        <is>
          <t>slow_ema</t>
        </is>
      </c>
      <c r="B15" t="inlineStr">
        <is>
          <t>21</t>
        </is>
      </c>
    </row>
    <row r="16">
      <c r="A16" t="inlineStr">
        <is>
          <t>trail_activation_points</t>
        </is>
      </c>
      <c r="B16" t="inlineStr">
        <is>
          <t>8</t>
        </is>
      </c>
    </row>
    <row r="17">
      <c r="A17" t="inlineStr">
        <is>
          <t>trail_distance_points</t>
        </is>
      </c>
      <c r="B17" t="inlineStr">
        <is>
          <t>5</t>
        </is>
      </c>
    </row>
    <row r="18">
      <c r="A18" t="inlineStr">
        <is>
          <t>use_consecutive_green</t>
        </is>
      </c>
      <c r="B18" t="inlineStr">
        <is>
          <t>Yes</t>
        </is>
      </c>
    </row>
    <row r="19">
      <c r="A19" t="inlineStr">
        <is>
          <t>use_htf_trend</t>
        </is>
      </c>
      <c r="B19" t="inlineStr">
        <is>
          <t>No</t>
        </is>
      </c>
    </row>
    <row r="20">
      <c r="A20" t="inlineStr">
        <is>
          <t>use_macd</t>
        </is>
      </c>
      <c r="B20" t="inlineStr">
        <is>
          <t>No</t>
        </is>
      </c>
    </row>
    <row r="21">
      <c r="A21" t="inlineStr">
        <is>
          <t>use_rsi_filter</t>
        </is>
      </c>
      <c r="B21" t="inlineStr">
        <is>
          <t>No</t>
        </is>
      </c>
    </row>
    <row r="22">
      <c r="A22" t="inlineStr">
        <is>
          <t>use_trail_stop</t>
        </is>
      </c>
      <c r="B22" t="inlineStr">
        <is>
          <t>Yes</t>
        </is>
      </c>
    </row>
    <row r="23">
      <c r="A23" t="inlineStr">
        <is>
          <t>use_vwap</t>
        </is>
      </c>
      <c r="B23" t="inlineStr">
        <is>
          <t>No</t>
        </is>
      </c>
    </row>
    <row r="24">
      <c r="A24" t="inlineStr"/>
      <c r="B24" t="inlineStr"/>
    </row>
    <row r="25">
      <c r="A25">
        <f>== TESTED PARAMETERS ===</f>
        <v/>
      </c>
      <c r="B25" t="inlineStr"/>
    </row>
    <row r="26">
      <c r="A26" t="inlineStr">
        <is>
          <t>filter_duration_seconds</t>
        </is>
      </c>
      <c r="B26" t="inlineStr">
        <is>
          <t>120.0 to 300.0 (4 values)</t>
        </is>
      </c>
    </row>
    <row r="27">
      <c r="A27" t="inlineStr">
        <is>
          <t>price_buffer_points</t>
        </is>
      </c>
      <c r="B27" t="inlineStr">
        <is>
          <t>2.0 to 4.0 (3 values)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8" customWidth="1" min="4" max="4"/>
    <col width="21" customWidth="1" min="5" max="5"/>
    <col width="25" customWidth="1" min="6" max="6"/>
    <col width="14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price_buffer_points</t>
        </is>
      </c>
      <c r="F1" s="1" t="inlineStr">
        <is>
          <t>filter_duration_seconds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PF2.0-120</t>
        </is>
      </c>
      <c r="C2" t="b">
        <v>1</v>
      </c>
      <c r="D2" t="inlineStr"/>
      <c r="E2" t="n">
        <v>2</v>
      </c>
      <c r="F2" t="n">
        <v>120</v>
      </c>
      <c r="G2" t="n">
        <v>66</v>
      </c>
      <c r="H2" t="n">
        <v>35984.46653550003</v>
      </c>
      <c r="I2" t="n">
        <v>0.9242424242424242</v>
      </c>
      <c r="J2" t="n">
        <v>1027.878070868853</v>
      </c>
      <c r="K2" t="n">
        <v>-5343.219157500002</v>
      </c>
      <c r="L2" t="n">
        <v>11581.23352875002</v>
      </c>
    </row>
    <row r="3">
      <c r="A3" t="n">
        <v>2</v>
      </c>
      <c r="B3" t="inlineStr">
        <is>
          <t>PF2.0-180</t>
        </is>
      </c>
      <c r="C3" t="b">
        <v>1</v>
      </c>
      <c r="D3" t="inlineStr"/>
      <c r="E3" t="n">
        <v>2</v>
      </c>
      <c r="F3" t="n">
        <v>180</v>
      </c>
      <c r="G3" t="n">
        <v>66</v>
      </c>
      <c r="H3" t="n">
        <v>35754.86773200004</v>
      </c>
      <c r="I3" t="n">
        <v>0.9242424242424242</v>
      </c>
      <c r="J3" t="n">
        <v>1022.895850463115</v>
      </c>
      <c r="K3" t="n">
        <v>-5328.355829249998</v>
      </c>
      <c r="L3" t="n">
        <v>11506.9168875</v>
      </c>
    </row>
    <row r="4">
      <c r="A4" t="n">
        <v>3</v>
      </c>
      <c r="B4" t="inlineStr">
        <is>
          <t>PF2.0-240</t>
        </is>
      </c>
      <c r="C4" t="b">
        <v>1</v>
      </c>
      <c r="D4" t="inlineStr"/>
      <c r="E4" t="n">
        <v>2</v>
      </c>
      <c r="F4" t="n">
        <v>240</v>
      </c>
      <c r="G4" t="n">
        <v>64</v>
      </c>
      <c r="H4" t="n">
        <v>35917.93302300004</v>
      </c>
      <c r="I4" t="n">
        <v>0.921875</v>
      </c>
      <c r="J4" t="n">
        <v>1026.870153228814</v>
      </c>
      <c r="K4" t="n">
        <v>-4933.4812035</v>
      </c>
      <c r="L4" t="n">
        <v>11506.9168875</v>
      </c>
    </row>
    <row r="5">
      <c r="A5" t="n">
        <v>4</v>
      </c>
      <c r="B5" t="inlineStr">
        <is>
          <t>PF2.0-300</t>
        </is>
      </c>
      <c r="C5" t="b">
        <v>1</v>
      </c>
      <c r="D5" t="inlineStr"/>
      <c r="E5" t="n">
        <v>2</v>
      </c>
      <c r="F5" t="n">
        <v>300</v>
      </c>
      <c r="G5" t="n">
        <v>62</v>
      </c>
      <c r="H5" t="n">
        <v>24544.11287250003</v>
      </c>
      <c r="I5" t="n">
        <v>0.9032258064516129</v>
      </c>
      <c r="J5" t="n">
        <v>977.5555418303577</v>
      </c>
      <c r="K5" t="n">
        <v>-5033.166245</v>
      </c>
      <c r="L5" t="n">
        <v>11774.474925</v>
      </c>
    </row>
    <row r="6">
      <c r="A6" t="n">
        <v>5</v>
      </c>
      <c r="B6" t="inlineStr">
        <is>
          <t>PF3.0-120</t>
        </is>
      </c>
      <c r="C6" t="b">
        <v>1</v>
      </c>
      <c r="D6" t="inlineStr"/>
      <c r="E6" t="n">
        <v>3</v>
      </c>
      <c r="F6" t="n">
        <v>120</v>
      </c>
      <c r="G6" t="n">
        <v>64</v>
      </c>
      <c r="H6" t="n">
        <v>34432.11978075002</v>
      </c>
      <c r="I6" t="n">
        <v>0.921875</v>
      </c>
      <c r="J6" t="n">
        <v>1036.41043336017</v>
      </c>
      <c r="K6" t="n">
        <v>-5343.219157500002</v>
      </c>
      <c r="L6" t="n">
        <v>11581.23352875002</v>
      </c>
    </row>
    <row r="7">
      <c r="A7" t="n">
        <v>6</v>
      </c>
      <c r="B7" t="inlineStr">
        <is>
          <t>PF3.0-180</t>
        </is>
      </c>
      <c r="C7" t="b">
        <v>1</v>
      </c>
      <c r="D7" t="inlineStr"/>
      <c r="E7" t="n">
        <v>3</v>
      </c>
      <c r="F7" t="n">
        <v>180</v>
      </c>
      <c r="G7" t="n">
        <v>64</v>
      </c>
      <c r="H7" t="n">
        <v>35356.03477725003</v>
      </c>
      <c r="I7" t="n">
        <v>0.921875</v>
      </c>
      <c r="J7" t="n">
        <v>1031.259324127119</v>
      </c>
      <c r="K7" t="n">
        <v>-5097.653069249998</v>
      </c>
      <c r="L7" t="n">
        <v>10353.4030875</v>
      </c>
    </row>
    <row r="8">
      <c r="A8" t="n">
        <v>7</v>
      </c>
      <c r="B8" t="inlineStr">
        <is>
          <t>PF3.0-240</t>
        </is>
      </c>
      <c r="C8" t="b">
        <v>1</v>
      </c>
      <c r="D8" t="inlineStr"/>
      <c r="E8" t="n">
        <v>3</v>
      </c>
      <c r="F8" t="n">
        <v>240</v>
      </c>
      <c r="G8" t="n">
        <v>63</v>
      </c>
      <c r="H8" t="n">
        <v>35739.27937575003</v>
      </c>
      <c r="I8" t="n">
        <v>0.9206349206349206</v>
      </c>
      <c r="J8" t="n">
        <v>1021.606406780173</v>
      </c>
      <c r="K8" t="n">
        <v>-4702.778443499999</v>
      </c>
      <c r="L8" t="n">
        <v>10353.4030875</v>
      </c>
    </row>
    <row r="9">
      <c r="A9" t="n">
        <v>8</v>
      </c>
      <c r="B9" t="inlineStr">
        <is>
          <t>PF3.0-300</t>
        </is>
      </c>
      <c r="C9" t="b">
        <v>1</v>
      </c>
      <c r="D9" t="inlineStr"/>
      <c r="E9" t="n">
        <v>3</v>
      </c>
      <c r="F9" t="n">
        <v>300</v>
      </c>
      <c r="G9" t="n">
        <v>60</v>
      </c>
      <c r="H9" t="n">
        <v>23561.37215775002</v>
      </c>
      <c r="I9" t="n">
        <v>0.9</v>
      </c>
      <c r="J9" t="n">
        <v>996.1007277916673</v>
      </c>
      <c r="K9" t="n">
        <v>-5038.011190500001</v>
      </c>
      <c r="L9" t="n">
        <v>11774.474925</v>
      </c>
    </row>
    <row r="10">
      <c r="A10" t="n">
        <v>9</v>
      </c>
      <c r="B10" t="inlineStr">
        <is>
          <t>PF4.0-120</t>
        </is>
      </c>
      <c r="C10" t="b">
        <v>1</v>
      </c>
      <c r="D10" t="inlineStr"/>
      <c r="E10" t="n">
        <v>4</v>
      </c>
      <c r="F10" t="n">
        <v>120</v>
      </c>
      <c r="G10" t="n">
        <v>60</v>
      </c>
      <c r="H10" t="n">
        <v>24822.04921425003</v>
      </c>
      <c r="I10" t="n">
        <v>0.9</v>
      </c>
      <c r="J10" t="n">
        <v>993.8447270555561</v>
      </c>
      <c r="K10" t="n">
        <v>-4807.594341125001</v>
      </c>
      <c r="L10" t="n">
        <v>11083.17041924999</v>
      </c>
    </row>
    <row r="11">
      <c r="A11" t="n">
        <v>10</v>
      </c>
      <c r="B11" t="inlineStr">
        <is>
          <t>PF4.0-180</t>
        </is>
      </c>
      <c r="C11" t="b">
        <v>1</v>
      </c>
      <c r="D11" t="inlineStr"/>
      <c r="E11" t="n">
        <v>4</v>
      </c>
      <c r="F11" t="n">
        <v>180</v>
      </c>
      <c r="G11" t="n">
        <v>60</v>
      </c>
      <c r="H11" t="n">
        <v>24577.58708250003</v>
      </c>
      <c r="I11" t="n">
        <v>0.9</v>
      </c>
      <c r="J11" t="n">
        <v>988.2166632638894</v>
      </c>
      <c r="K11" t="n">
        <v>-4797.685455624998</v>
      </c>
      <c r="L11" t="n">
        <v>11083.17041924999</v>
      </c>
    </row>
    <row r="12">
      <c r="A12" t="n">
        <v>11</v>
      </c>
      <c r="B12" t="inlineStr">
        <is>
          <t>PF4.0-240</t>
        </is>
      </c>
      <c r="C12" t="b">
        <v>1</v>
      </c>
      <c r="D12" t="inlineStr"/>
      <c r="E12" t="n">
        <v>4</v>
      </c>
      <c r="F12" t="n">
        <v>240</v>
      </c>
      <c r="G12" t="n">
        <v>60</v>
      </c>
      <c r="H12" t="n">
        <v>23559.96829125004</v>
      </c>
      <c r="I12" t="n">
        <v>0.9</v>
      </c>
      <c r="J12" t="n">
        <v>969.3718708333339</v>
      </c>
      <c r="K12" t="n">
        <v>-4797.685455624998</v>
      </c>
      <c r="L12" t="n">
        <v>11083.17041924999</v>
      </c>
    </row>
    <row r="13">
      <c r="A13" t="n">
        <v>12</v>
      </c>
      <c r="B13" t="inlineStr">
        <is>
          <t>PF4.0-300</t>
        </is>
      </c>
      <c r="C13" t="b">
        <v>1</v>
      </c>
      <c r="D13" t="inlineStr"/>
      <c r="E13" t="n">
        <v>4</v>
      </c>
      <c r="F13" t="n">
        <v>300</v>
      </c>
      <c r="G13" t="n">
        <v>57</v>
      </c>
      <c r="H13" t="n">
        <v>21277.66807125003</v>
      </c>
      <c r="I13" t="n">
        <v>0.8947368421052632</v>
      </c>
      <c r="J13" t="n">
        <v>982.8085121176478</v>
      </c>
      <c r="K13" t="n">
        <v>-4807.594341125001</v>
      </c>
      <c r="L13" t="n">
        <v>11083.17041924999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6" customWidth="1" min="4" max="4"/>
    <col width="12" customWidth="1" min="5" max="5"/>
  </cols>
  <sheetData>
    <row r="1">
      <c r="A1" s="1" t="inlineStr">
        <is>
          <t>Parameter Value</t>
        </is>
      </c>
      <c r="B1" s="1" t="inlineStr">
        <is>
          <t>Test Count</t>
        </is>
      </c>
      <c r="C1" s="1" t="inlineStr">
        <is>
          <t>Avg PnL</t>
        </is>
      </c>
      <c r="D1" s="1" t="inlineStr">
        <is>
          <t>Avg Win Rate %</t>
        </is>
      </c>
      <c r="E1" s="1" t="inlineStr">
        <is>
          <t>Avg Trades</t>
        </is>
      </c>
    </row>
    <row r="2">
      <c r="A2">
        <f>== FILTER_DURATION_SECONDS ===</f>
        <v/>
      </c>
      <c r="B2" t="inlineStr"/>
      <c r="C2" t="inlineStr"/>
      <c r="D2" t="inlineStr"/>
      <c r="E2" t="inlineStr"/>
    </row>
    <row r="3">
      <c r="A3" t="inlineStr">
        <is>
          <t>120</t>
        </is>
      </c>
      <c r="B3" t="n">
        <v>3</v>
      </c>
      <c r="C3" t="n">
        <v>31746.21</v>
      </c>
      <c r="D3" t="n">
        <v>91.5</v>
      </c>
      <c r="E3" t="n">
        <v>63.3</v>
      </c>
    </row>
    <row r="4">
      <c r="A4" t="inlineStr">
        <is>
          <t>180</t>
        </is>
      </c>
      <c r="B4" t="n">
        <v>3</v>
      </c>
      <c r="C4" t="n">
        <v>31896.16</v>
      </c>
      <c r="D4" t="n">
        <v>91.5</v>
      </c>
      <c r="E4" t="n">
        <v>63.3</v>
      </c>
    </row>
    <row r="5">
      <c r="A5" t="inlineStr">
        <is>
          <t>240</t>
        </is>
      </c>
      <c r="B5" t="n">
        <v>3</v>
      </c>
      <c r="C5" t="n">
        <v>31739.06</v>
      </c>
      <c r="D5" t="n">
        <v>91.40000000000001</v>
      </c>
      <c r="E5" t="n">
        <v>62.3</v>
      </c>
    </row>
    <row r="6">
      <c r="A6" t="inlineStr">
        <is>
          <t>300</t>
        </is>
      </c>
      <c r="B6" t="n">
        <v>3</v>
      </c>
      <c r="C6" t="n">
        <v>23127.72</v>
      </c>
      <c r="D6" t="n">
        <v>89.90000000000001</v>
      </c>
      <c r="E6" t="n">
        <v>59.7</v>
      </c>
    </row>
    <row r="7">
      <c r="A7" t="inlineStr"/>
      <c r="B7" t="inlineStr"/>
      <c r="C7" t="inlineStr"/>
      <c r="D7" t="inlineStr"/>
      <c r="E7" t="inlineStr"/>
    </row>
    <row r="8">
      <c r="A8">
        <f>== PRICE_BUFFER_POINTS ===</f>
        <v/>
      </c>
      <c r="B8" t="inlineStr"/>
      <c r="C8" t="inlineStr"/>
      <c r="D8" t="inlineStr"/>
      <c r="E8" t="inlineStr"/>
    </row>
    <row r="9">
      <c r="A9" t="inlineStr">
        <is>
          <t>2</t>
        </is>
      </c>
      <c r="B9" t="n">
        <v>4</v>
      </c>
      <c r="C9" t="n">
        <v>33050.35</v>
      </c>
      <c r="D9" t="n">
        <v>91.8</v>
      </c>
      <c r="E9" t="n">
        <v>64.5</v>
      </c>
    </row>
    <row r="10">
      <c r="A10" t="inlineStr">
        <is>
          <t>3</t>
        </is>
      </c>
      <c r="B10" t="n">
        <v>4</v>
      </c>
      <c r="C10" t="n">
        <v>32272.2</v>
      </c>
      <c r="D10" t="n">
        <v>91.59999999999999</v>
      </c>
      <c r="E10" t="n">
        <v>62.8</v>
      </c>
    </row>
    <row r="11">
      <c r="A11" t="inlineStr">
        <is>
          <t>4</t>
        </is>
      </c>
      <c r="B11" t="n">
        <v>4</v>
      </c>
      <c r="C11" t="n">
        <v>23559.32</v>
      </c>
      <c r="D11" t="n">
        <v>89.90000000000001</v>
      </c>
      <c r="E11" t="n">
        <v>59.2</v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21" customWidth="1" min="4" max="4"/>
    <col width="25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price_buffer_points</t>
        </is>
      </c>
      <c r="E1" s="1" t="inlineStr">
        <is>
          <t>filter_duration_seconds</t>
        </is>
      </c>
    </row>
    <row r="2">
      <c r="A2" t="inlineStr">
        <is>
          <t>PF2.0-120</t>
        </is>
      </c>
      <c r="B2" t="b">
        <v>1</v>
      </c>
      <c r="C2" t="inlineStr"/>
      <c r="D2" t="n">
        <v>2</v>
      </c>
      <c r="E2" t="n">
        <v>120</v>
      </c>
    </row>
    <row r="3">
      <c r="A3" t="inlineStr">
        <is>
          <t>PF2.0-180</t>
        </is>
      </c>
      <c r="B3" t="b">
        <v>1</v>
      </c>
      <c r="C3" t="inlineStr"/>
      <c r="D3" t="n">
        <v>2</v>
      </c>
      <c r="E3" t="n">
        <v>180</v>
      </c>
    </row>
    <row r="4">
      <c r="A4" t="inlineStr">
        <is>
          <t>PF2.0-240</t>
        </is>
      </c>
      <c r="B4" t="b">
        <v>1</v>
      </c>
      <c r="C4" t="inlineStr"/>
      <c r="D4" t="n">
        <v>2</v>
      </c>
      <c r="E4" t="n">
        <v>240</v>
      </c>
    </row>
    <row r="5">
      <c r="A5" t="inlineStr">
        <is>
          <t>PF2.0-300</t>
        </is>
      </c>
      <c r="B5" t="b">
        <v>1</v>
      </c>
      <c r="C5" t="inlineStr"/>
      <c r="D5" t="n">
        <v>2</v>
      </c>
      <c r="E5" t="n">
        <v>300</v>
      </c>
    </row>
    <row r="6">
      <c r="A6" t="inlineStr">
        <is>
          <t>PF3.0-120</t>
        </is>
      </c>
      <c r="B6" t="b">
        <v>1</v>
      </c>
      <c r="C6" t="inlineStr"/>
      <c r="D6" t="n">
        <v>3</v>
      </c>
      <c r="E6" t="n">
        <v>120</v>
      </c>
    </row>
    <row r="7">
      <c r="A7" t="inlineStr">
        <is>
          <t>PF3.0-180</t>
        </is>
      </c>
      <c r="B7" t="b">
        <v>1</v>
      </c>
      <c r="C7" t="inlineStr"/>
      <c r="D7" t="n">
        <v>3</v>
      </c>
      <c r="E7" t="n">
        <v>180</v>
      </c>
    </row>
    <row r="8">
      <c r="A8" t="inlineStr">
        <is>
          <t>PF3.0-240</t>
        </is>
      </c>
      <c r="B8" t="b">
        <v>1</v>
      </c>
      <c r="C8" t="inlineStr"/>
      <c r="D8" t="n">
        <v>3</v>
      </c>
      <c r="E8" t="n">
        <v>240</v>
      </c>
    </row>
    <row r="9">
      <c r="A9" t="inlineStr">
        <is>
          <t>PF3.0-300</t>
        </is>
      </c>
      <c r="B9" t="b">
        <v>1</v>
      </c>
      <c r="C9" t="inlineStr"/>
      <c r="D9" t="n">
        <v>3</v>
      </c>
      <c r="E9" t="n">
        <v>300</v>
      </c>
    </row>
    <row r="10">
      <c r="A10" t="inlineStr">
        <is>
          <t>PF4.0-120</t>
        </is>
      </c>
      <c r="B10" t="b">
        <v>1</v>
      </c>
      <c r="C10" t="inlineStr"/>
      <c r="D10" t="n">
        <v>4</v>
      </c>
      <c r="E10" t="n">
        <v>120</v>
      </c>
    </row>
    <row r="11">
      <c r="A11" t="inlineStr">
        <is>
          <t>PF4.0-180</t>
        </is>
      </c>
      <c r="B11" t="b">
        <v>1</v>
      </c>
      <c r="C11" t="inlineStr"/>
      <c r="D11" t="n">
        <v>4</v>
      </c>
      <c r="E11" t="n">
        <v>180</v>
      </c>
    </row>
    <row r="12">
      <c r="A12" t="inlineStr">
        <is>
          <t>PF4.0-240</t>
        </is>
      </c>
      <c r="B12" t="b">
        <v>1</v>
      </c>
      <c r="C12" t="inlineStr"/>
      <c r="D12" t="n">
        <v>4</v>
      </c>
      <c r="E12" t="n">
        <v>240</v>
      </c>
    </row>
    <row r="13">
      <c r="A13" t="inlineStr">
        <is>
          <t>PF4.0-300</t>
        </is>
      </c>
      <c r="B13" t="b">
        <v>1</v>
      </c>
      <c r="C13" t="inlineStr"/>
      <c r="D13" t="n">
        <v>4</v>
      </c>
      <c r="E13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21:58:12</t>
        </is>
      </c>
    </row>
    <row r="3">
      <c r="A3" t="inlineStr">
        <is>
          <t>Phase Name</t>
        </is>
      </c>
      <c r="B3" t="inlineStr">
        <is>
          <t>Price Above Exit Filter Optimization</t>
        </is>
      </c>
    </row>
    <row r="4">
      <c r="A4" t="inlineStr">
        <is>
          <t>Description</t>
        </is>
      </c>
      <c r="B4" t="inlineStr">
        <is>
          <t>Testing 12 combinations of buffer points (2-4) and duration (120-300s) with EMA 9-21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12</v>
      </c>
    </row>
    <row r="7">
      <c r="A7" t="inlineStr">
        <is>
          <t>Tests Passed Validation</t>
        </is>
      </c>
      <c r="B7" t="n">
        <v>12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35984.47</v>
      </c>
    </row>
    <row r="11">
      <c r="A11" t="inlineStr">
        <is>
          <t>Worst PnL</t>
        </is>
      </c>
      <c r="B11" t="n">
        <v>21277.67</v>
      </c>
    </row>
    <row r="12">
      <c r="A12" t="inlineStr">
        <is>
          <t>Average PnL</t>
        </is>
      </c>
      <c r="B12" t="n">
        <v>29627.29</v>
      </c>
    </row>
    <row r="13">
      <c r="A13" t="inlineStr">
        <is>
          <t>Best Win Rate</t>
        </is>
      </c>
      <c r="B13" t="inlineStr">
        <is>
          <t>92.4%</t>
        </is>
      </c>
    </row>
    <row r="14">
      <c r="A14" t="inlineStr">
        <is>
          <t>Worst Win Rate</t>
        </is>
      </c>
      <c r="B14" t="inlineStr">
        <is>
          <t>89.5%</t>
        </is>
      </c>
    </row>
    <row r="15">
      <c r="A15" t="inlineStr">
        <is>
          <t>Average Win Rate</t>
        </is>
      </c>
      <c r="B15" t="inlineStr">
        <is>
          <t>91.1%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2025-10-29T16:28:12Z</dcterms:created>
  <dcterms:modified xmlns:dcterms="http://purl.org/dc/terms/" xmlns:xsi="http://www.w3.org/2001/XMLSchema-instance" xsi:type="dcterms:W3CDTF">2025-10-29T16:28:12Z</dcterms:modified>
</cp:coreProperties>
</file>